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ome\Desktop\mokslai\semestras 4\komp-tinklai\L2B\"/>
    </mc:Choice>
  </mc:AlternateContent>
  <xr:revisionPtr revIDLastSave="0" documentId="13_ncr:1_{4863725F-7BDB-4A67-B5A9-81F9BBD139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no individualus IP" sheetId="1" r:id="rId1"/>
    <sheet name="Potinkliai" sheetId="2" r:id="rId2"/>
    <sheet name="IP adresai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" i="2" l="1"/>
  <c r="F31" i="2"/>
  <c r="D31" i="2"/>
  <c r="K17" i="2"/>
</calcChain>
</file>

<file path=xl/sharedStrings.xml><?xml version="1.0" encoding="utf-8"?>
<sst xmlns="http://schemas.openxmlformats.org/spreadsheetml/2006/main" count="452" uniqueCount="157">
  <si>
    <t>Individualus ipv4:</t>
  </si>
  <si>
    <t>24.40.07.0/24</t>
  </si>
  <si>
    <t>Individualus ipv6:</t>
  </si>
  <si>
    <t>2024:1400:7abf::/64</t>
  </si>
  <si>
    <t>Vieta</t>
  </si>
  <si>
    <t>Administracija</t>
  </si>
  <si>
    <t>Patalpa</t>
  </si>
  <si>
    <t>Egzaminavimo centras</t>
  </si>
  <si>
    <t>Potinklis</t>
  </si>
  <si>
    <t>Reikalinga IP</t>
  </si>
  <si>
    <t>Adresas</t>
  </si>
  <si>
    <t>Kaukė (Subnet Mask)</t>
  </si>
  <si>
    <t>IPv4</t>
  </si>
  <si>
    <t>Subnet Mask</t>
  </si>
  <si>
    <t>IPv6</t>
  </si>
  <si>
    <t>Default Gateway</t>
  </si>
  <si>
    <t>Pagrindinis MTK pastatas pirmas aukštas</t>
  </si>
  <si>
    <t>POP/MDF serverinė</t>
  </si>
  <si>
    <t>Prietaisas</t>
  </si>
  <si>
    <t>Core switch 2650-24ps</t>
  </si>
  <si>
    <t>Core switch 2650-24ps (sujungta su Router 2911)</t>
  </si>
  <si>
    <t>Auditorija 1</t>
  </si>
  <si>
    <t>Auditorija 2</t>
  </si>
  <si>
    <t>Pagrindinis MTK pastatas antras aukštas</t>
  </si>
  <si>
    <t>Interfeisas</t>
  </si>
  <si>
    <t>G 1/0/1</t>
  </si>
  <si>
    <t>G 0/1</t>
  </si>
  <si>
    <t>G 1/0/2</t>
  </si>
  <si>
    <t>G 1/0/3</t>
  </si>
  <si>
    <t>G 1/0/4</t>
  </si>
  <si>
    <t>G 1/0/5</t>
  </si>
  <si>
    <t>G 1/0/6</t>
  </si>
  <si>
    <t>G 1/0/7</t>
  </si>
  <si>
    <t>G 1/0/8</t>
  </si>
  <si>
    <t>G 1/0/9</t>
  </si>
  <si>
    <t>Router 2911 (sujungta su core switch G 1/0/1)</t>
  </si>
  <si>
    <t>Mail server (sujungta su core switch G 1/0/3)</t>
  </si>
  <si>
    <t>FTP server (sujungta su core switch G 1/0/2)</t>
  </si>
  <si>
    <t>WEB Server (sujungta su core switch G 1/0/4)</t>
  </si>
  <si>
    <t>Fa0</t>
  </si>
  <si>
    <t>vlan 1</t>
  </si>
  <si>
    <t>-</t>
  </si>
  <si>
    <t>fa0</t>
  </si>
  <si>
    <t>Access Point (sujungta su switch 2960 fa 0/2)</t>
  </si>
  <si>
    <t>Camera (sujungta su switch 2960 fa 0/3)</t>
  </si>
  <si>
    <t>PC0 pirmas (sujungta su switch 2960 0/4)</t>
  </si>
  <si>
    <t>PC1 paskutinis (sujungta su switch 2960 0/4)</t>
  </si>
  <si>
    <t>Switch 2960-24TT (fa 0/1 sujungta su core switch G 1/0/6)</t>
  </si>
  <si>
    <t>PC0 pirmas (sujungta su switch 2960 fa 0/4)</t>
  </si>
  <si>
    <t>PC1 paskutinis (sujungta su switch 2960 fa 0/5)</t>
  </si>
  <si>
    <t>Switch 2960-24TT (fa 0/1 sujungta su core switch G 1/0/7)</t>
  </si>
  <si>
    <t>Switch 2960-24TT antras (fa 0/1 sujungta su Switch 2960-24TT pirmas fa 0/2)</t>
  </si>
  <si>
    <t>Access Point (sujungta su Switch 2960-24TT pirmas fa 0/3)</t>
  </si>
  <si>
    <t>Camera (sujungta su Switch 2960-24TT pirmas fa 0/4)</t>
  </si>
  <si>
    <t>PC0 pirmas (sujungta su Switch 2960-24TT pirmas fa 0/5)</t>
  </si>
  <si>
    <t>PC1 paskutinis (sujungta su Switch 2960-24TT pirmas fa 0/6)</t>
  </si>
  <si>
    <t>Dizaino mokymo centras</t>
  </si>
  <si>
    <t>Multimedijos mokymo centras</t>
  </si>
  <si>
    <t>Switch 2960-24TT pirmas (fa 0/1 sujungta su core switch G 1/0/8)</t>
  </si>
  <si>
    <t>Switch 2960-24TT (fa 0/1 sujungta su core switch G 1/0/9)</t>
  </si>
  <si>
    <t>Switch 2960-24TT (fa 0/1 sujungta su core switch G 1/0/5)</t>
  </si>
  <si>
    <t>Testavimo centras</t>
  </si>
  <si>
    <t>Switch Empty su G 0/1 ir G 1/1(G 0/1 sujungta su core switch G 1/1/1 per optinį laidą)</t>
  </si>
  <si>
    <t>Switch 2960-24TT (fa 0/1 sujungta su Switch Empty su G 1/1)</t>
  </si>
  <si>
    <t>Access Point (sujungta su Switch 2960-24TT fa 0/2)</t>
  </si>
  <si>
    <t>Camera (sujungta su Switch 2960-24TT fa 0/3)</t>
  </si>
  <si>
    <t>PC0 pirmas (sujungta su Switch 2960-24TT fa 0/4)</t>
  </si>
  <si>
    <t>PC1 paskutinis (sujungta su Switch 2960-24TT fa 0/5)</t>
  </si>
  <si>
    <t>Išmaniųjų technologijų mokymo centras</t>
  </si>
  <si>
    <t>Serverinė</t>
  </si>
  <si>
    <t>Switch Empty su G 0/1 ir G 1/1(G 0/1 sujungta su core switch G 1/1/2 per optinį laidą)</t>
  </si>
  <si>
    <t>Camera (sujungta su Switch 2960-24TT fa 0/13)</t>
  </si>
  <si>
    <t>Carbon monoxide detector</t>
  </si>
  <si>
    <t>DNS</t>
  </si>
  <si>
    <t>Wireless0</t>
  </si>
  <si>
    <t>Carbon dioxide detector</t>
  </si>
  <si>
    <t>Smoke detector</t>
  </si>
  <si>
    <t>Motion detector</t>
  </si>
  <si>
    <t>Dėstytojų kambarys</t>
  </si>
  <si>
    <t>Switch 2960-24TT (fa 0/1 sujungta su Switch iš serverinės su fa 0/2)</t>
  </si>
  <si>
    <t>Budėtojų apsaugos kambarys</t>
  </si>
  <si>
    <t>Switch 2960-24TT (fa 0/1 sujungta su Switch iš serverinės su fa 0/4)</t>
  </si>
  <si>
    <t>IoT registracijos serveris (fa0 sujungta su Switch 2960-24TT fa 0/2)</t>
  </si>
  <si>
    <t>Access Point (sujungta su Switch 2960-24TT fa 0/3)</t>
  </si>
  <si>
    <t>Camera (sujungta su Switch 2960-24TT fa 0/4)</t>
  </si>
  <si>
    <t>PC0 pirmas (sujungta su Switch 2960-24TT fa 0/5)</t>
  </si>
  <si>
    <t>PC1 paskutinis (sujungta su Switch 2960-24TT fa 0/6)</t>
  </si>
  <si>
    <t>Elektronikos dirbtuvės</t>
  </si>
  <si>
    <t>Switch 2960-24TT pirmas (fa 0/1 sujungta su Switch iš serverinės su fa 0/3)</t>
  </si>
  <si>
    <t>Switch 2960-24TT antras (fa 0/1 sujungta su Switch 2960-24TT pirmas su fa 0/2)</t>
  </si>
  <si>
    <t>Thermostat</t>
  </si>
  <si>
    <t>Temperature monitor</t>
  </si>
  <si>
    <t>Konferencijų salė</t>
  </si>
  <si>
    <t>Salė</t>
  </si>
  <si>
    <t>Camera (fa0 sujungta su Switch iš išmaniųjų technologijų serverinės su fa 0/14)</t>
  </si>
  <si>
    <t>Access Point 1 (sujungta su Switch iš išmaniųjų technologijų serverinės su fa 0/5)</t>
  </si>
  <si>
    <t>Access Point 2 (sujungta su Switch iš išmaniųjų technologijų serverinės su fa 0/6)</t>
  </si>
  <si>
    <t>Access Point 3 (sujungta su Switch iš išmaniųjų technologijų serverinės su fa 0/7)</t>
  </si>
  <si>
    <t>Access Point 4 (sujungta su Switch iš išmaniųjų technologijų serverinės su fa 0/8)</t>
  </si>
  <si>
    <t>Access Point 5 (sujungta su Switch iš išmaniųjų technologijų serverinės su fa 0/9)</t>
  </si>
  <si>
    <t>Access Point 6 (sujungta su Switch iš išmaniųjų technologijų serverinės su fa 0/10)</t>
  </si>
  <si>
    <t>Access Point 7 (sujungta su Switch iš išmaniųjų technologijų serverinės su fa 0/11)</t>
  </si>
  <si>
    <t>Access Point 8 (sujungta su Switch iš išmaniųjų technologijų serverinės su fa 0/12)</t>
  </si>
  <si>
    <t>Smartphone0 (sujungta su vienu iš Access Point)</t>
  </si>
  <si>
    <t>Smartphone1 (sujungta su vienu iš Access Point)</t>
  </si>
  <si>
    <t xml:space="preserve">MTK antras aukštas </t>
  </si>
  <si>
    <t>Paskirtis</t>
  </si>
  <si>
    <t>~50</t>
  </si>
  <si>
    <t>Konferenciju sale</t>
  </si>
  <si>
    <t>~400</t>
  </si>
  <si>
    <t>VLAN 2</t>
  </si>
  <si>
    <t>VLAN 3</t>
  </si>
  <si>
    <t>VLAN 4</t>
  </si>
  <si>
    <t>VLAN 5</t>
  </si>
  <si>
    <t>VLAN 6</t>
  </si>
  <si>
    <t>VLAN 7</t>
  </si>
  <si>
    <t>172.16.0.0</t>
  </si>
  <si>
    <t>/23</t>
  </si>
  <si>
    <t>~20</t>
  </si>
  <si>
    <t>Išmaniųjų t. serverine, budetoju ir destytoju kambariai</t>
  </si>
  <si>
    <t>a1, a2, m, d, ed</t>
  </si>
  <si>
    <t>tc</t>
  </si>
  <si>
    <t>dst, bd</t>
  </si>
  <si>
    <t>pop mdf serv</t>
  </si>
  <si>
    <t>ism serv</t>
  </si>
  <si>
    <t>Elektronikos dirbtuves ir egzaminavimo centras</t>
  </si>
  <si>
    <t>centrai</t>
  </si>
  <si>
    <t xml:space="preserve">MTK autidorija1, auditorija2 </t>
  </si>
  <si>
    <t>/27</t>
  </si>
  <si>
    <t>MTK serverine</t>
  </si>
  <si>
    <t>/28</t>
  </si>
  <si>
    <t>MTK antras auktas</t>
  </si>
  <si>
    <t>MTK administracija</t>
  </si>
  <si>
    <t>/26</t>
  </si>
  <si>
    <t>sunaudota ip</t>
  </si>
  <si>
    <t>24.40.7.0</t>
  </si>
  <si>
    <t>24.40.7.64</t>
  </si>
  <si>
    <t>24.40.7.128</t>
  </si>
  <si>
    <t>24.40.7.160</t>
  </si>
  <si>
    <t>24.40.7.192</t>
  </si>
  <si>
    <t>24.40.7.208</t>
  </si>
  <si>
    <t>VLAN 8</t>
  </si>
  <si>
    <t>Router(config-ext-nacl)# deny ip any 24.40.7.192 0.0.0.15</t>
  </si>
  <si>
    <t xml:space="preserve">2. Draudžiama patekti į Budėtojus/IoT (24.40.7.160/27) </t>
  </si>
  <si>
    <t>Router(config-ext-nacl)# deny ip any 24.40.7.160 0.0.0.31</t>
  </si>
  <si>
    <t># 3. Leidžiama visą kitą srautą (Internetą, WEB serverį, DHCP)</t>
  </si>
  <si>
    <t xml:space="preserve">Router(config-ext-nacl)# permit ip any any </t>
  </si>
  <si>
    <t># 1. Draudžiama patekti į Administraciją (24.40.7.192/28)</t>
  </si>
  <si>
    <t>Router(config)# ip access-list extended BLOKAVIMAS_AUDITORIJOMS</t>
  </si>
  <si>
    <t>acl ipv4</t>
  </si>
  <si>
    <t>acl ipv6</t>
  </si>
  <si>
    <t>Router(config)# ipv6 access-list BLOKAVIMAS_V6</t>
  </si>
  <si>
    <t># Draudžiam į Administracijos (VLAN 6) ir IoT (VLAN 5) IPv6 tinklus</t>
  </si>
  <si>
    <t>Router(config-ipv6-acl)# deny ipv6 any 2001:DB8:ACAD:6::/64</t>
  </si>
  <si>
    <t>Router(config-ipv6-acl)# deny ipv6 any 2001:DB8:ACAD:5::/64</t>
  </si>
  <si>
    <t># Leidžiam visa kita</t>
  </si>
  <si>
    <t>Router(config-ipv6-acl)# permit ipv6 any 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</si>
</sst>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vertical="center" wrapText="1" readingOrder="1"/>
    </xf>
    <xf numFmtId="0" fontId="2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vertical="center" wrapText="1" readingOrder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DA9601-1BF5-4D34-9F9C-76694FF6FDD6}" name="Table2" displayName="Table2" ref="A1:I95" totalsRowShown="0">
  <autoFilter ref="A1:I95" xr:uid="{5ADA9601-1BF5-4D34-9F9C-76694FF6FDD6}"/>
  <tableColumns count="9">
    <tableColumn id="1" xr3:uid="{36743873-96E0-4265-9AA8-5004B79F0BD5}" name="Vieta"/>
    <tableColumn id="2" xr3:uid="{A21D75B4-A791-41B9-8A61-2BF2AAC91809}" name="Patalpa"/>
    <tableColumn id="3" xr3:uid="{49552E90-F042-4AB0-83C3-5A6D6EFDCDE3}" name="Prietaisas"/>
    <tableColumn id="4" xr3:uid="{F539A714-0A13-45EF-A36D-385D49AE5184}" name="Interfeisas"/>
    <tableColumn id="5" xr3:uid="{7C8FE78E-2FE6-49DB-B37F-085628FFA88D}" name="IPv4"/>
    <tableColumn id="6" xr3:uid="{E8A8768B-0CB0-4109-81EC-2C1B304E62A8}" name="Subnet Mask"/>
    <tableColumn id="7" xr3:uid="{41793646-7A1D-43B1-B189-F1FF5F63166F}" name="Default Gateway"/>
    <tableColumn id="8" xr3:uid="{86C36F71-B853-401A-8FF9-6692CF5F35DC}" name="IPv6"/>
    <tableColumn id="9" xr3:uid="{9B9DC71C-D985-44C9-A7E3-F93F98A8E212}" name="DN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zoomScale="85" zoomScaleNormal="85" workbookViewId="0">
      <selection activeCell="B2" sqref="B2"/>
    </sheetView>
  </sheetViews>
  <sheetFormatPr defaultColWidth="11.85546875" defaultRowHeight="15" x14ac:dyDescent="0.25"/>
  <cols>
    <col min="1" max="1" width="66.42578125" customWidth="1"/>
    <col min="2" max="2" width="59.1406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5" spans="1:2" x14ac:dyDescent="0.25">
      <c r="A5" t="s">
        <v>149</v>
      </c>
    </row>
    <row r="6" spans="1:2" x14ac:dyDescent="0.25">
      <c r="A6" t="s">
        <v>148</v>
      </c>
      <c r="B6" t="s">
        <v>150</v>
      </c>
    </row>
    <row r="7" spans="1:2" x14ac:dyDescent="0.25">
      <c r="A7" s="8" t="s">
        <v>147</v>
      </c>
      <c r="B7" t="s">
        <v>151</v>
      </c>
    </row>
    <row r="8" spans="1:2" x14ac:dyDescent="0.25">
      <c r="A8" t="s">
        <v>142</v>
      </c>
      <c r="B8" t="s">
        <v>152</v>
      </c>
    </row>
    <row r="9" spans="1:2" x14ac:dyDescent="0.25">
      <c r="A9" t="s">
        <v>143</v>
      </c>
      <c r="B9" t="s">
        <v>153</v>
      </c>
    </row>
    <row r="10" spans="1:2" x14ac:dyDescent="0.25">
      <c r="A10" t="s">
        <v>144</v>
      </c>
      <c r="B10" t="s">
        <v>154</v>
      </c>
    </row>
    <row r="11" spans="1:2" x14ac:dyDescent="0.25">
      <c r="A11" t="s">
        <v>145</v>
      </c>
      <c r="B11" t="s">
        <v>155</v>
      </c>
    </row>
    <row r="12" spans="1:2" x14ac:dyDescent="0.25">
      <c r="A12" t="s">
        <v>146</v>
      </c>
      <c r="B12" t="s">
        <v>156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8AE0-266F-4AC2-9C4A-1378C1EDC2C1}">
  <dimension ref="A1:L33"/>
  <sheetViews>
    <sheetView zoomScale="85" zoomScaleNormal="85" workbookViewId="0">
      <selection activeCell="A16" sqref="A16"/>
    </sheetView>
  </sheetViews>
  <sheetFormatPr defaultRowHeight="15" x14ac:dyDescent="0.25"/>
  <cols>
    <col min="1" max="1" width="23.7109375" customWidth="1"/>
    <col min="2" max="2" width="22.85546875" customWidth="1"/>
    <col min="3" max="4" width="22" customWidth="1"/>
    <col min="5" max="5" width="18.140625" customWidth="1"/>
    <col min="6" max="6" width="17" customWidth="1"/>
    <col min="7" max="8" width="9.140625" customWidth="1"/>
    <col min="10" max="10" width="22.85546875" customWidth="1"/>
    <col min="11" max="11" width="40.7109375" customWidth="1"/>
    <col min="12" max="12" width="20.28515625" customWidth="1"/>
    <col min="13" max="13" width="16.7109375" customWidth="1"/>
    <col min="14" max="14" width="28.85546875" customWidth="1"/>
  </cols>
  <sheetData>
    <row r="1" spans="1:6" ht="30.75" thickBot="1" x14ac:dyDescent="0.3">
      <c r="A1" s="1" t="s">
        <v>8</v>
      </c>
      <c r="B1" s="1" t="s">
        <v>106</v>
      </c>
      <c r="C1" s="1" t="s">
        <v>9</v>
      </c>
      <c r="D1" s="1" t="s">
        <v>10</v>
      </c>
      <c r="E1" s="1" t="s">
        <v>11</v>
      </c>
      <c r="F1" s="2" t="s">
        <v>134</v>
      </c>
    </row>
    <row r="2" spans="1:6" ht="15.75" thickBot="1" x14ac:dyDescent="0.3">
      <c r="A2" s="1" t="s">
        <v>141</v>
      </c>
      <c r="B2" s="1" t="s">
        <v>108</v>
      </c>
      <c r="C2" s="3" t="s">
        <v>109</v>
      </c>
      <c r="D2" s="1" t="s">
        <v>116</v>
      </c>
      <c r="E2" s="1" t="s">
        <v>117</v>
      </c>
      <c r="F2" s="4">
        <v>0</v>
      </c>
    </row>
    <row r="3" spans="1:6" ht="60.75" thickBot="1" x14ac:dyDescent="0.3">
      <c r="A3" s="1" t="s">
        <v>110</v>
      </c>
      <c r="B3" s="1" t="s">
        <v>125</v>
      </c>
      <c r="C3" s="3">
        <v>60</v>
      </c>
      <c r="D3" s="1" t="s">
        <v>135</v>
      </c>
      <c r="E3" s="1" t="s">
        <v>133</v>
      </c>
      <c r="F3" s="4">
        <v>64</v>
      </c>
    </row>
    <row r="4" spans="1:6" ht="15.75" thickBot="1" x14ac:dyDescent="0.3">
      <c r="A4" s="1" t="s">
        <v>111</v>
      </c>
      <c r="B4" s="1" t="s">
        <v>131</v>
      </c>
      <c r="C4" s="3">
        <v>45</v>
      </c>
      <c r="D4" s="1" t="s">
        <v>136</v>
      </c>
      <c r="E4" s="1" t="s">
        <v>133</v>
      </c>
      <c r="F4" s="4">
        <v>64</v>
      </c>
    </row>
    <row r="5" spans="1:6" ht="30.75" thickBot="1" x14ac:dyDescent="0.3">
      <c r="A5" s="1" t="s">
        <v>112</v>
      </c>
      <c r="B5" s="1" t="s">
        <v>127</v>
      </c>
      <c r="C5" s="3">
        <v>30</v>
      </c>
      <c r="D5" s="1" t="s">
        <v>137</v>
      </c>
      <c r="E5" s="1" t="s">
        <v>128</v>
      </c>
      <c r="F5" s="4">
        <v>32</v>
      </c>
    </row>
    <row r="6" spans="1:6" ht="60.75" thickBot="1" x14ac:dyDescent="0.3">
      <c r="A6" s="1" t="s">
        <v>113</v>
      </c>
      <c r="B6" s="1" t="s">
        <v>119</v>
      </c>
      <c r="C6" s="3" t="s">
        <v>118</v>
      </c>
      <c r="D6" s="1" t="s">
        <v>138</v>
      </c>
      <c r="E6" s="1" t="s">
        <v>128</v>
      </c>
      <c r="F6" s="4">
        <v>32</v>
      </c>
    </row>
    <row r="7" spans="1:6" ht="15.75" thickBot="1" x14ac:dyDescent="0.3">
      <c r="A7" s="1" t="s">
        <v>114</v>
      </c>
      <c r="B7" s="1" t="s">
        <v>132</v>
      </c>
      <c r="C7" s="3">
        <v>12</v>
      </c>
      <c r="D7" s="1" t="s">
        <v>139</v>
      </c>
      <c r="E7" s="1" t="s">
        <v>130</v>
      </c>
      <c r="F7" s="4">
        <v>16</v>
      </c>
    </row>
    <row r="8" spans="1:6" ht="15.75" thickBot="1" x14ac:dyDescent="0.3">
      <c r="A8" s="1" t="s">
        <v>115</v>
      </c>
      <c r="B8" s="1" t="s">
        <v>129</v>
      </c>
      <c r="C8" s="3">
        <v>10</v>
      </c>
      <c r="D8" s="1" t="s">
        <v>140</v>
      </c>
      <c r="E8" s="1" t="s">
        <v>130</v>
      </c>
      <c r="F8" s="4">
        <v>16</v>
      </c>
    </row>
    <row r="9" spans="1:6" ht="15.75" thickBot="1" x14ac:dyDescent="0.3">
      <c r="A9" s="1"/>
      <c r="B9" s="1"/>
      <c r="C9" s="3"/>
      <c r="D9" s="1"/>
      <c r="E9" s="1"/>
      <c r="F9" s="4"/>
    </row>
    <row r="10" spans="1:6" ht="15.75" thickBot="1" x14ac:dyDescent="0.3">
      <c r="A10" s="1"/>
      <c r="B10" s="1"/>
      <c r="C10" s="3"/>
      <c r="D10" s="1"/>
      <c r="E10" s="1"/>
      <c r="F10" s="4"/>
    </row>
    <row r="11" spans="1:6" ht="15.75" thickBot="1" x14ac:dyDescent="0.3">
      <c r="A11" s="1"/>
      <c r="B11" s="1"/>
      <c r="C11" s="3"/>
      <c r="D11" s="1"/>
      <c r="E11" s="1"/>
      <c r="F11" s="4">
        <f>SUM(F3:F8)</f>
        <v>224</v>
      </c>
    </row>
    <row r="12" spans="1:6" ht="15.75" thickBot="1" x14ac:dyDescent="0.3">
      <c r="A12" s="1"/>
      <c r="B12" s="1"/>
      <c r="C12" s="3"/>
      <c r="D12" s="1"/>
      <c r="E12" s="1"/>
      <c r="F12" s="4"/>
    </row>
    <row r="13" spans="1:6" x14ac:dyDescent="0.25">
      <c r="A13" s="5"/>
      <c r="B13" s="5"/>
      <c r="C13" s="6"/>
      <c r="D13" s="5"/>
      <c r="E13" s="5"/>
      <c r="F13" s="7"/>
    </row>
    <row r="14" spans="1:6" x14ac:dyDescent="0.25">
      <c r="A14" s="5"/>
      <c r="B14" s="5"/>
      <c r="C14" s="6"/>
      <c r="D14" s="5"/>
      <c r="E14" s="5"/>
      <c r="F14" s="7"/>
    </row>
    <row r="15" spans="1:6" x14ac:dyDescent="0.25">
      <c r="A15" s="5"/>
      <c r="B15" s="5"/>
      <c r="C15" s="6"/>
      <c r="D15" s="5"/>
      <c r="E15" s="5"/>
      <c r="F15" s="7"/>
    </row>
    <row r="17" spans="1:12" x14ac:dyDescent="0.25">
      <c r="J17" t="s">
        <v>120</v>
      </c>
      <c r="K17">
        <f>30 + 25 + 20 + 17</f>
        <v>92</v>
      </c>
      <c r="L17">
        <v>128</v>
      </c>
    </row>
    <row r="18" spans="1:12" x14ac:dyDescent="0.25">
      <c r="J18" t="s">
        <v>121</v>
      </c>
      <c r="K18">
        <v>25</v>
      </c>
      <c r="L18">
        <v>32</v>
      </c>
    </row>
    <row r="19" spans="1:12" x14ac:dyDescent="0.25">
      <c r="J19" t="s">
        <v>122</v>
      </c>
      <c r="K19">
        <v>25</v>
      </c>
      <c r="L19">
        <v>32</v>
      </c>
    </row>
    <row r="20" spans="1:12" ht="15.75" thickBot="1" x14ac:dyDescent="0.3">
      <c r="J20" t="s">
        <v>123</v>
      </c>
      <c r="K20">
        <v>10</v>
      </c>
      <c r="L20">
        <v>16</v>
      </c>
    </row>
    <row r="21" spans="1:12" ht="15.75" thickBot="1" x14ac:dyDescent="0.3">
      <c r="A21" s="1"/>
      <c r="B21" s="1" t="s">
        <v>105</v>
      </c>
      <c r="C21" s="3" t="s">
        <v>107</v>
      </c>
      <c r="D21" s="1"/>
      <c r="E21" s="1"/>
      <c r="F21" s="4"/>
      <c r="J21" t="s">
        <v>124</v>
      </c>
      <c r="K21">
        <v>10</v>
      </c>
    </row>
    <row r="23" spans="1:12" x14ac:dyDescent="0.25">
      <c r="B23" t="s">
        <v>126</v>
      </c>
      <c r="C23">
        <v>10</v>
      </c>
      <c r="D23">
        <v>14</v>
      </c>
      <c r="E23">
        <v>40</v>
      </c>
      <c r="F23">
        <v>18</v>
      </c>
      <c r="H23">
        <v>16</v>
      </c>
      <c r="I23">
        <v>16</v>
      </c>
    </row>
    <row r="24" spans="1:12" x14ac:dyDescent="0.25">
      <c r="D24">
        <v>16</v>
      </c>
      <c r="F24">
        <v>27</v>
      </c>
    </row>
    <row r="29" spans="1:12" x14ac:dyDescent="0.25">
      <c r="A29" t="s">
        <v>0</v>
      </c>
      <c r="B29" t="s">
        <v>1</v>
      </c>
    </row>
    <row r="30" spans="1:12" x14ac:dyDescent="0.25">
      <c r="A30" t="s">
        <v>2</v>
      </c>
      <c r="B30" t="s">
        <v>3</v>
      </c>
    </row>
    <row r="31" spans="1:12" x14ac:dyDescent="0.25">
      <c r="C31">
        <v>16</v>
      </c>
      <c r="D31">
        <f>SUM(D23:D28)</f>
        <v>30</v>
      </c>
      <c r="E31">
        <v>40</v>
      </c>
      <c r="F31">
        <f>SUM(F23:F27)</f>
        <v>45</v>
      </c>
    </row>
    <row r="33" spans="3:9" x14ac:dyDescent="0.25">
      <c r="C33">
        <v>16</v>
      </c>
      <c r="D33">
        <v>32</v>
      </c>
      <c r="E33">
        <v>64</v>
      </c>
      <c r="F33">
        <v>64</v>
      </c>
      <c r="G33">
        <v>32</v>
      </c>
      <c r="H33">
        <v>16</v>
      </c>
      <c r="I33">
        <v>16</v>
      </c>
    </row>
  </sheetData>
  <sortState xmlns:xlrd2="http://schemas.microsoft.com/office/spreadsheetml/2017/richdata2" ref="A2:F12">
    <sortCondition ref="A1:A12"/>
  </sortState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76EF4-F36D-4798-A3D9-ABBA77471550}">
  <dimension ref="A1:I95"/>
  <sheetViews>
    <sheetView topLeftCell="A76" zoomScaleNormal="100" workbookViewId="0">
      <selection activeCell="C22" sqref="C22"/>
    </sheetView>
  </sheetViews>
  <sheetFormatPr defaultRowHeight="15" x14ac:dyDescent="0.25"/>
  <cols>
    <col min="1" max="1" width="37.140625" bestFit="1" customWidth="1"/>
    <col min="2" max="2" width="28.42578125" bestFit="1" customWidth="1"/>
    <col min="3" max="3" width="76.7109375" bestFit="1" customWidth="1"/>
    <col min="4" max="4" width="9.7109375" bestFit="1" customWidth="1"/>
    <col min="5" max="5" width="15.85546875" bestFit="1" customWidth="1"/>
    <col min="6" max="6" width="40.42578125" customWidth="1"/>
    <col min="7" max="7" width="21" customWidth="1"/>
    <col min="8" max="8" width="46.28515625" customWidth="1"/>
  </cols>
  <sheetData>
    <row r="1" spans="1:9" x14ac:dyDescent="0.25">
      <c r="A1" t="s">
        <v>4</v>
      </c>
      <c r="B1" t="s">
        <v>6</v>
      </c>
      <c r="C1" t="s">
        <v>18</v>
      </c>
      <c r="D1" t="s">
        <v>24</v>
      </c>
      <c r="E1" t="s">
        <v>12</v>
      </c>
      <c r="F1" t="s">
        <v>13</v>
      </c>
      <c r="G1" t="s">
        <v>15</v>
      </c>
      <c r="H1" t="s">
        <v>14</v>
      </c>
      <c r="I1" t="s">
        <v>73</v>
      </c>
    </row>
    <row r="2" spans="1:9" x14ac:dyDescent="0.25">
      <c r="A2" t="s">
        <v>16</v>
      </c>
      <c r="B2" t="s">
        <v>17</v>
      </c>
      <c r="C2" t="s">
        <v>35</v>
      </c>
      <c r="D2" t="s">
        <v>26</v>
      </c>
    </row>
    <row r="3" spans="1:9" x14ac:dyDescent="0.25">
      <c r="A3" t="s">
        <v>16</v>
      </c>
      <c r="B3" t="s">
        <v>17</v>
      </c>
      <c r="C3" t="s">
        <v>20</v>
      </c>
      <c r="D3" t="s">
        <v>25</v>
      </c>
    </row>
    <row r="4" spans="1:9" x14ac:dyDescent="0.25">
      <c r="A4" t="s">
        <v>16</v>
      </c>
      <c r="B4" t="s">
        <v>17</v>
      </c>
      <c r="C4" t="s">
        <v>19</v>
      </c>
      <c r="D4" t="s">
        <v>27</v>
      </c>
    </row>
    <row r="5" spans="1:9" x14ac:dyDescent="0.25">
      <c r="A5" t="s">
        <v>16</v>
      </c>
      <c r="B5" t="s">
        <v>17</v>
      </c>
      <c r="C5" t="s">
        <v>19</v>
      </c>
      <c r="D5" t="s">
        <v>28</v>
      </c>
    </row>
    <row r="6" spans="1:9" x14ac:dyDescent="0.25">
      <c r="A6" t="s">
        <v>16</v>
      </c>
      <c r="B6" t="s">
        <v>17</v>
      </c>
      <c r="C6" t="s">
        <v>19</v>
      </c>
      <c r="D6" t="s">
        <v>29</v>
      </c>
    </row>
    <row r="7" spans="1:9" x14ac:dyDescent="0.25">
      <c r="A7" t="s">
        <v>16</v>
      </c>
      <c r="B7" t="s">
        <v>17</v>
      </c>
      <c r="C7" t="s">
        <v>19</v>
      </c>
      <c r="D7" t="s">
        <v>30</v>
      </c>
    </row>
    <row r="8" spans="1:9" x14ac:dyDescent="0.25">
      <c r="A8" t="s">
        <v>16</v>
      </c>
      <c r="B8" t="s">
        <v>17</v>
      </c>
      <c r="C8" t="s">
        <v>19</v>
      </c>
      <c r="D8" t="s">
        <v>31</v>
      </c>
    </row>
    <row r="9" spans="1:9" x14ac:dyDescent="0.25">
      <c r="A9" t="s">
        <v>16</v>
      </c>
      <c r="B9" t="s">
        <v>17</v>
      </c>
      <c r="C9" t="s">
        <v>19</v>
      </c>
      <c r="D9" t="s">
        <v>32</v>
      </c>
    </row>
    <row r="10" spans="1:9" x14ac:dyDescent="0.25">
      <c r="A10" t="s">
        <v>16</v>
      </c>
      <c r="B10" t="s">
        <v>17</v>
      </c>
      <c r="C10" t="s">
        <v>19</v>
      </c>
      <c r="D10" t="s">
        <v>33</v>
      </c>
    </row>
    <row r="11" spans="1:9" x14ac:dyDescent="0.25">
      <c r="A11" t="s">
        <v>16</v>
      </c>
      <c r="B11" t="s">
        <v>17</v>
      </c>
      <c r="C11" t="s">
        <v>19</v>
      </c>
      <c r="D11" t="s">
        <v>34</v>
      </c>
    </row>
    <row r="12" spans="1:9" x14ac:dyDescent="0.25">
      <c r="A12" t="s">
        <v>16</v>
      </c>
      <c r="B12" t="s">
        <v>17</v>
      </c>
      <c r="C12" t="s">
        <v>37</v>
      </c>
      <c r="D12" t="s">
        <v>39</v>
      </c>
    </row>
    <row r="13" spans="1:9" x14ac:dyDescent="0.25">
      <c r="A13" t="s">
        <v>16</v>
      </c>
      <c r="B13" t="s">
        <v>17</v>
      </c>
      <c r="C13" t="s">
        <v>36</v>
      </c>
      <c r="D13" t="s">
        <v>39</v>
      </c>
    </row>
    <row r="14" spans="1:9" x14ac:dyDescent="0.25">
      <c r="A14" t="s">
        <v>16</v>
      </c>
      <c r="B14" t="s">
        <v>17</v>
      </c>
      <c r="C14" t="s">
        <v>38</v>
      </c>
      <c r="D14" t="s">
        <v>39</v>
      </c>
    </row>
    <row r="15" spans="1:9" x14ac:dyDescent="0.25">
      <c r="A15" t="s">
        <v>16</v>
      </c>
      <c r="B15" t="s">
        <v>21</v>
      </c>
      <c r="C15" t="s">
        <v>60</v>
      </c>
      <c r="D15" t="s">
        <v>40</v>
      </c>
    </row>
    <row r="16" spans="1:9" x14ac:dyDescent="0.25">
      <c r="A16" t="s">
        <v>16</v>
      </c>
      <c r="B16" t="s">
        <v>21</v>
      </c>
      <c r="C16" t="s">
        <v>43</v>
      </c>
      <c r="D16" t="s">
        <v>41</v>
      </c>
    </row>
    <row r="17" spans="1:4" x14ac:dyDescent="0.25">
      <c r="A17" t="s">
        <v>16</v>
      </c>
      <c r="B17" t="s">
        <v>21</v>
      </c>
      <c r="C17" t="s">
        <v>44</v>
      </c>
      <c r="D17" t="s">
        <v>42</v>
      </c>
    </row>
    <row r="18" spans="1:4" x14ac:dyDescent="0.25">
      <c r="A18" t="s">
        <v>16</v>
      </c>
      <c r="B18" t="s">
        <v>21</v>
      </c>
      <c r="C18" t="s">
        <v>45</v>
      </c>
      <c r="D18" t="s">
        <v>42</v>
      </c>
    </row>
    <row r="19" spans="1:4" x14ac:dyDescent="0.25">
      <c r="A19" t="s">
        <v>16</v>
      </c>
      <c r="B19" t="s">
        <v>21</v>
      </c>
      <c r="C19" t="s">
        <v>46</v>
      </c>
      <c r="D19" t="s">
        <v>42</v>
      </c>
    </row>
    <row r="20" spans="1:4" x14ac:dyDescent="0.25">
      <c r="A20" t="s">
        <v>16</v>
      </c>
      <c r="B20" t="s">
        <v>22</v>
      </c>
      <c r="C20" t="s">
        <v>47</v>
      </c>
      <c r="D20" t="s">
        <v>40</v>
      </c>
    </row>
    <row r="21" spans="1:4" x14ac:dyDescent="0.25">
      <c r="A21" t="s">
        <v>16</v>
      </c>
      <c r="B21" t="s">
        <v>22</v>
      </c>
      <c r="C21" t="s">
        <v>43</v>
      </c>
      <c r="D21" t="s">
        <v>41</v>
      </c>
    </row>
    <row r="22" spans="1:4" x14ac:dyDescent="0.25">
      <c r="A22" t="s">
        <v>16</v>
      </c>
      <c r="B22" t="s">
        <v>22</v>
      </c>
      <c r="C22" t="s">
        <v>44</v>
      </c>
      <c r="D22" t="s">
        <v>42</v>
      </c>
    </row>
    <row r="23" spans="1:4" x14ac:dyDescent="0.25">
      <c r="A23" t="s">
        <v>16</v>
      </c>
      <c r="B23" t="s">
        <v>22</v>
      </c>
      <c r="C23" t="s">
        <v>48</v>
      </c>
      <c r="D23" t="s">
        <v>42</v>
      </c>
    </row>
    <row r="24" spans="1:4" x14ac:dyDescent="0.25">
      <c r="A24" t="s">
        <v>16</v>
      </c>
      <c r="B24" t="s">
        <v>22</v>
      </c>
      <c r="C24" t="s">
        <v>49</v>
      </c>
      <c r="D24" t="s">
        <v>42</v>
      </c>
    </row>
    <row r="25" spans="1:4" x14ac:dyDescent="0.25">
      <c r="A25" t="s">
        <v>16</v>
      </c>
      <c r="B25" t="s">
        <v>5</v>
      </c>
      <c r="C25" t="s">
        <v>50</v>
      </c>
      <c r="D25" t="s">
        <v>40</v>
      </c>
    </row>
    <row r="26" spans="1:4" x14ac:dyDescent="0.25">
      <c r="A26" t="s">
        <v>16</v>
      </c>
      <c r="B26" t="s">
        <v>5</v>
      </c>
      <c r="C26" t="s">
        <v>43</v>
      </c>
      <c r="D26" t="s">
        <v>41</v>
      </c>
    </row>
    <row r="27" spans="1:4" x14ac:dyDescent="0.25">
      <c r="A27" t="s">
        <v>16</v>
      </c>
      <c r="B27" t="s">
        <v>5</v>
      </c>
      <c r="C27" t="s">
        <v>44</v>
      </c>
      <c r="D27" t="s">
        <v>42</v>
      </c>
    </row>
    <row r="28" spans="1:4" x14ac:dyDescent="0.25">
      <c r="A28" t="s">
        <v>16</v>
      </c>
      <c r="B28" t="s">
        <v>5</v>
      </c>
      <c r="C28" t="s">
        <v>48</v>
      </c>
      <c r="D28" t="s">
        <v>42</v>
      </c>
    </row>
    <row r="29" spans="1:4" x14ac:dyDescent="0.25">
      <c r="A29" t="s">
        <v>16</v>
      </c>
      <c r="B29" t="s">
        <v>5</v>
      </c>
      <c r="C29" t="s">
        <v>49</v>
      </c>
      <c r="D29" t="s">
        <v>42</v>
      </c>
    </row>
    <row r="30" spans="1:4" x14ac:dyDescent="0.25">
      <c r="A30" t="s">
        <v>23</v>
      </c>
      <c r="B30" t="s">
        <v>56</v>
      </c>
      <c r="C30" t="s">
        <v>58</v>
      </c>
      <c r="D30" t="s">
        <v>40</v>
      </c>
    </row>
    <row r="31" spans="1:4" x14ac:dyDescent="0.25">
      <c r="A31" t="s">
        <v>23</v>
      </c>
      <c r="B31" t="s">
        <v>56</v>
      </c>
      <c r="C31" t="s">
        <v>51</v>
      </c>
      <c r="D31" t="s">
        <v>40</v>
      </c>
    </row>
    <row r="32" spans="1:4" x14ac:dyDescent="0.25">
      <c r="A32" t="s">
        <v>23</v>
      </c>
      <c r="B32" t="s">
        <v>56</v>
      </c>
      <c r="C32" t="s">
        <v>52</v>
      </c>
      <c r="D32" t="s">
        <v>41</v>
      </c>
    </row>
    <row r="33" spans="1:4" x14ac:dyDescent="0.25">
      <c r="A33" t="s">
        <v>23</v>
      </c>
      <c r="B33" t="s">
        <v>56</v>
      </c>
      <c r="C33" t="s">
        <v>53</v>
      </c>
      <c r="D33" t="s">
        <v>42</v>
      </c>
    </row>
    <row r="34" spans="1:4" x14ac:dyDescent="0.25">
      <c r="A34" t="s">
        <v>23</v>
      </c>
      <c r="B34" t="s">
        <v>56</v>
      </c>
      <c r="C34" t="s">
        <v>54</v>
      </c>
      <c r="D34" t="s">
        <v>42</v>
      </c>
    </row>
    <row r="35" spans="1:4" x14ac:dyDescent="0.25">
      <c r="A35" t="s">
        <v>23</v>
      </c>
      <c r="B35" t="s">
        <v>56</v>
      </c>
      <c r="C35" t="s">
        <v>55</v>
      </c>
      <c r="D35" t="s">
        <v>42</v>
      </c>
    </row>
    <row r="36" spans="1:4" x14ac:dyDescent="0.25">
      <c r="A36" t="s">
        <v>23</v>
      </c>
      <c r="B36" t="s">
        <v>57</v>
      </c>
      <c r="C36" t="s">
        <v>59</v>
      </c>
      <c r="D36" t="s">
        <v>40</v>
      </c>
    </row>
    <row r="37" spans="1:4" x14ac:dyDescent="0.25">
      <c r="A37" t="s">
        <v>23</v>
      </c>
      <c r="B37" t="s">
        <v>57</v>
      </c>
      <c r="C37" t="s">
        <v>64</v>
      </c>
      <c r="D37" t="s">
        <v>41</v>
      </c>
    </row>
    <row r="38" spans="1:4" x14ac:dyDescent="0.25">
      <c r="A38" t="s">
        <v>23</v>
      </c>
      <c r="B38" t="s">
        <v>57</v>
      </c>
      <c r="C38" t="s">
        <v>65</v>
      </c>
      <c r="D38" t="s">
        <v>42</v>
      </c>
    </row>
    <row r="39" spans="1:4" x14ac:dyDescent="0.25">
      <c r="A39" t="s">
        <v>23</v>
      </c>
      <c r="B39" t="s">
        <v>57</v>
      </c>
      <c r="C39" t="s">
        <v>66</v>
      </c>
      <c r="D39" t="s">
        <v>42</v>
      </c>
    </row>
    <row r="40" spans="1:4" x14ac:dyDescent="0.25">
      <c r="A40" t="s">
        <v>23</v>
      </c>
      <c r="B40" t="s">
        <v>57</v>
      </c>
      <c r="C40" t="s">
        <v>67</v>
      </c>
      <c r="D40" t="s">
        <v>42</v>
      </c>
    </row>
    <row r="41" spans="1:4" x14ac:dyDescent="0.25">
      <c r="A41" t="s">
        <v>7</v>
      </c>
      <c r="B41" t="s">
        <v>61</v>
      </c>
      <c r="C41" t="s">
        <v>62</v>
      </c>
      <c r="D41" t="s">
        <v>40</v>
      </c>
    </row>
    <row r="42" spans="1:4" x14ac:dyDescent="0.25">
      <c r="A42" t="s">
        <v>7</v>
      </c>
      <c r="B42" t="s">
        <v>61</v>
      </c>
      <c r="C42" t="s">
        <v>63</v>
      </c>
      <c r="D42" t="s">
        <v>40</v>
      </c>
    </row>
    <row r="43" spans="1:4" x14ac:dyDescent="0.25">
      <c r="A43" t="s">
        <v>7</v>
      </c>
      <c r="B43" t="s">
        <v>61</v>
      </c>
      <c r="C43" t="s">
        <v>64</v>
      </c>
      <c r="D43" t="s">
        <v>41</v>
      </c>
    </row>
    <row r="44" spans="1:4" x14ac:dyDescent="0.25">
      <c r="A44" t="s">
        <v>7</v>
      </c>
      <c r="B44" t="s">
        <v>61</v>
      </c>
      <c r="C44" t="s">
        <v>65</v>
      </c>
      <c r="D44" t="s">
        <v>42</v>
      </c>
    </row>
    <row r="45" spans="1:4" x14ac:dyDescent="0.25">
      <c r="A45" t="s">
        <v>7</v>
      </c>
      <c r="B45" t="s">
        <v>61</v>
      </c>
      <c r="C45" t="s">
        <v>66</v>
      </c>
      <c r="D45" t="s">
        <v>42</v>
      </c>
    </row>
    <row r="46" spans="1:4" x14ac:dyDescent="0.25">
      <c r="A46" t="s">
        <v>7</v>
      </c>
      <c r="B46" t="s">
        <v>61</v>
      </c>
      <c r="C46" t="s">
        <v>67</v>
      </c>
      <c r="D46" t="s">
        <v>42</v>
      </c>
    </row>
    <row r="47" spans="1:4" x14ac:dyDescent="0.25">
      <c r="A47" t="s">
        <v>68</v>
      </c>
      <c r="B47" t="s">
        <v>69</v>
      </c>
      <c r="C47" t="s">
        <v>70</v>
      </c>
      <c r="D47" t="s">
        <v>40</v>
      </c>
    </row>
    <row r="48" spans="1:4" x14ac:dyDescent="0.25">
      <c r="A48" t="s">
        <v>68</v>
      </c>
      <c r="B48" t="s">
        <v>69</v>
      </c>
      <c r="C48" t="s">
        <v>63</v>
      </c>
      <c r="D48" t="s">
        <v>40</v>
      </c>
    </row>
    <row r="49" spans="1:4" x14ac:dyDescent="0.25">
      <c r="A49" t="s">
        <v>68</v>
      </c>
      <c r="B49" t="s">
        <v>69</v>
      </c>
      <c r="C49" t="s">
        <v>71</v>
      </c>
      <c r="D49" t="s">
        <v>42</v>
      </c>
    </row>
    <row r="50" spans="1:4" x14ac:dyDescent="0.25">
      <c r="A50" t="s">
        <v>68</v>
      </c>
      <c r="B50" t="s">
        <v>69</v>
      </c>
      <c r="C50" t="s">
        <v>72</v>
      </c>
      <c r="D50" t="s">
        <v>74</v>
      </c>
    </row>
    <row r="51" spans="1:4" x14ac:dyDescent="0.25">
      <c r="A51" t="s">
        <v>68</v>
      </c>
      <c r="B51" t="s">
        <v>69</v>
      </c>
      <c r="C51" t="s">
        <v>75</v>
      </c>
      <c r="D51" t="s">
        <v>74</v>
      </c>
    </row>
    <row r="52" spans="1:4" x14ac:dyDescent="0.25">
      <c r="A52" t="s">
        <v>68</v>
      </c>
      <c r="B52" t="s">
        <v>69</v>
      </c>
      <c r="C52" t="s">
        <v>76</v>
      </c>
      <c r="D52" t="s">
        <v>74</v>
      </c>
    </row>
    <row r="53" spans="1:4" x14ac:dyDescent="0.25">
      <c r="A53" t="s">
        <v>68</v>
      </c>
      <c r="B53" t="s">
        <v>69</v>
      </c>
      <c r="C53" t="s">
        <v>77</v>
      </c>
      <c r="D53" t="s">
        <v>74</v>
      </c>
    </row>
    <row r="54" spans="1:4" x14ac:dyDescent="0.25">
      <c r="A54" t="s">
        <v>68</v>
      </c>
      <c r="B54" t="s">
        <v>78</v>
      </c>
      <c r="C54" t="s">
        <v>79</v>
      </c>
      <c r="D54" t="s">
        <v>40</v>
      </c>
    </row>
    <row r="55" spans="1:4" x14ac:dyDescent="0.25">
      <c r="A55" t="s">
        <v>68</v>
      </c>
      <c r="B55" t="s">
        <v>78</v>
      </c>
      <c r="C55" t="s">
        <v>64</v>
      </c>
      <c r="D55" t="s">
        <v>41</v>
      </c>
    </row>
    <row r="56" spans="1:4" x14ac:dyDescent="0.25">
      <c r="A56" t="s">
        <v>68</v>
      </c>
      <c r="B56" t="s">
        <v>78</v>
      </c>
      <c r="C56" t="s">
        <v>65</v>
      </c>
      <c r="D56" t="s">
        <v>42</v>
      </c>
    </row>
    <row r="57" spans="1:4" x14ac:dyDescent="0.25">
      <c r="A57" t="s">
        <v>68</v>
      </c>
      <c r="B57" t="s">
        <v>78</v>
      </c>
      <c r="C57" t="s">
        <v>66</v>
      </c>
      <c r="D57" t="s">
        <v>42</v>
      </c>
    </row>
    <row r="58" spans="1:4" x14ac:dyDescent="0.25">
      <c r="A58" t="s">
        <v>68</v>
      </c>
      <c r="B58" t="s">
        <v>78</v>
      </c>
      <c r="C58" t="s">
        <v>67</v>
      </c>
      <c r="D58" t="s">
        <v>42</v>
      </c>
    </row>
    <row r="59" spans="1:4" x14ac:dyDescent="0.25">
      <c r="A59" t="s">
        <v>68</v>
      </c>
      <c r="B59" t="s">
        <v>78</v>
      </c>
      <c r="C59" t="s">
        <v>72</v>
      </c>
      <c r="D59" t="s">
        <v>74</v>
      </c>
    </row>
    <row r="60" spans="1:4" x14ac:dyDescent="0.25">
      <c r="A60" t="s">
        <v>68</v>
      </c>
      <c r="B60" t="s">
        <v>78</v>
      </c>
      <c r="C60" t="s">
        <v>75</v>
      </c>
      <c r="D60" t="s">
        <v>74</v>
      </c>
    </row>
    <row r="61" spans="1:4" x14ac:dyDescent="0.25">
      <c r="A61" t="s">
        <v>68</v>
      </c>
      <c r="B61" t="s">
        <v>78</v>
      </c>
      <c r="C61" t="s">
        <v>76</v>
      </c>
      <c r="D61" t="s">
        <v>74</v>
      </c>
    </row>
    <row r="62" spans="1:4" x14ac:dyDescent="0.25">
      <c r="A62" t="s">
        <v>68</v>
      </c>
      <c r="B62" t="s">
        <v>78</v>
      </c>
      <c r="C62" t="s">
        <v>77</v>
      </c>
      <c r="D62" t="s">
        <v>74</v>
      </c>
    </row>
    <row r="63" spans="1:4" x14ac:dyDescent="0.25">
      <c r="A63" t="s">
        <v>68</v>
      </c>
      <c r="B63" t="s">
        <v>80</v>
      </c>
      <c r="C63" t="s">
        <v>81</v>
      </c>
      <c r="D63" t="s">
        <v>40</v>
      </c>
    </row>
    <row r="64" spans="1:4" x14ac:dyDescent="0.25">
      <c r="A64" t="s">
        <v>68</v>
      </c>
      <c r="B64" t="s">
        <v>80</v>
      </c>
      <c r="C64" t="s">
        <v>82</v>
      </c>
      <c r="D64" t="s">
        <v>42</v>
      </c>
    </row>
    <row r="65" spans="1:4" x14ac:dyDescent="0.25">
      <c r="A65" t="s">
        <v>68</v>
      </c>
      <c r="B65" t="s">
        <v>80</v>
      </c>
      <c r="C65" t="s">
        <v>83</v>
      </c>
      <c r="D65" t="s">
        <v>41</v>
      </c>
    </row>
    <row r="66" spans="1:4" x14ac:dyDescent="0.25">
      <c r="A66" t="s">
        <v>68</v>
      </c>
      <c r="B66" t="s">
        <v>80</v>
      </c>
      <c r="C66" t="s">
        <v>84</v>
      </c>
      <c r="D66" t="s">
        <v>42</v>
      </c>
    </row>
    <row r="67" spans="1:4" x14ac:dyDescent="0.25">
      <c r="A67" t="s">
        <v>68</v>
      </c>
      <c r="B67" t="s">
        <v>80</v>
      </c>
      <c r="C67" t="s">
        <v>85</v>
      </c>
      <c r="D67" t="s">
        <v>42</v>
      </c>
    </row>
    <row r="68" spans="1:4" x14ac:dyDescent="0.25">
      <c r="A68" t="s">
        <v>68</v>
      </c>
      <c r="B68" t="s">
        <v>80</v>
      </c>
      <c r="C68" t="s">
        <v>86</v>
      </c>
      <c r="D68" t="s">
        <v>42</v>
      </c>
    </row>
    <row r="69" spans="1:4" x14ac:dyDescent="0.25">
      <c r="A69" t="s">
        <v>68</v>
      </c>
      <c r="B69" t="s">
        <v>80</v>
      </c>
      <c r="C69" t="s">
        <v>72</v>
      </c>
      <c r="D69" t="s">
        <v>74</v>
      </c>
    </row>
    <row r="70" spans="1:4" x14ac:dyDescent="0.25">
      <c r="A70" t="s">
        <v>68</v>
      </c>
      <c r="B70" t="s">
        <v>80</v>
      </c>
      <c r="C70" t="s">
        <v>75</v>
      </c>
      <c r="D70" t="s">
        <v>74</v>
      </c>
    </row>
    <row r="71" spans="1:4" x14ac:dyDescent="0.25">
      <c r="A71" t="s">
        <v>68</v>
      </c>
      <c r="B71" t="s">
        <v>80</v>
      </c>
      <c r="C71" t="s">
        <v>76</v>
      </c>
      <c r="D71" t="s">
        <v>74</v>
      </c>
    </row>
    <row r="72" spans="1:4" x14ac:dyDescent="0.25">
      <c r="A72" t="s">
        <v>68</v>
      </c>
      <c r="B72" t="s">
        <v>80</v>
      </c>
      <c r="C72" t="s">
        <v>77</v>
      </c>
      <c r="D72" t="s">
        <v>74</v>
      </c>
    </row>
    <row r="73" spans="1:4" x14ac:dyDescent="0.25">
      <c r="A73" t="s">
        <v>68</v>
      </c>
      <c r="B73" t="s">
        <v>87</v>
      </c>
      <c r="C73" t="s">
        <v>88</v>
      </c>
      <c r="D73" t="s">
        <v>40</v>
      </c>
    </row>
    <row r="74" spans="1:4" x14ac:dyDescent="0.25">
      <c r="A74" t="s">
        <v>68</v>
      </c>
      <c r="B74" t="s">
        <v>87</v>
      </c>
      <c r="C74" t="s">
        <v>89</v>
      </c>
      <c r="D74" t="s">
        <v>40</v>
      </c>
    </row>
    <row r="75" spans="1:4" x14ac:dyDescent="0.25">
      <c r="A75" t="s">
        <v>68</v>
      </c>
      <c r="B75" t="s">
        <v>87</v>
      </c>
      <c r="C75" t="s">
        <v>52</v>
      </c>
      <c r="D75" t="s">
        <v>41</v>
      </c>
    </row>
    <row r="76" spans="1:4" x14ac:dyDescent="0.25">
      <c r="A76" t="s">
        <v>68</v>
      </c>
      <c r="B76" t="s">
        <v>87</v>
      </c>
      <c r="C76" t="s">
        <v>53</v>
      </c>
      <c r="D76" t="s">
        <v>42</v>
      </c>
    </row>
    <row r="77" spans="1:4" x14ac:dyDescent="0.25">
      <c r="A77" t="s">
        <v>68</v>
      </c>
      <c r="B77" t="s">
        <v>87</v>
      </c>
      <c r="C77" t="s">
        <v>54</v>
      </c>
      <c r="D77" t="s">
        <v>42</v>
      </c>
    </row>
    <row r="78" spans="1:4" x14ac:dyDescent="0.25">
      <c r="A78" t="s">
        <v>68</v>
      </c>
      <c r="B78" t="s">
        <v>87</v>
      </c>
      <c r="C78" t="s">
        <v>55</v>
      </c>
      <c r="D78" t="s">
        <v>42</v>
      </c>
    </row>
    <row r="79" spans="1:4" x14ac:dyDescent="0.25">
      <c r="A79" t="s">
        <v>68</v>
      </c>
      <c r="B79" t="s">
        <v>87</v>
      </c>
      <c r="C79" t="s">
        <v>72</v>
      </c>
      <c r="D79" t="s">
        <v>74</v>
      </c>
    </row>
    <row r="80" spans="1:4" x14ac:dyDescent="0.25">
      <c r="A80" t="s">
        <v>68</v>
      </c>
      <c r="B80" t="s">
        <v>87</v>
      </c>
      <c r="C80" t="s">
        <v>75</v>
      </c>
      <c r="D80" t="s">
        <v>74</v>
      </c>
    </row>
    <row r="81" spans="1:4" x14ac:dyDescent="0.25">
      <c r="A81" t="s">
        <v>68</v>
      </c>
      <c r="B81" t="s">
        <v>87</v>
      </c>
      <c r="C81" t="s">
        <v>76</v>
      </c>
      <c r="D81" t="s">
        <v>74</v>
      </c>
    </row>
    <row r="82" spans="1:4" x14ac:dyDescent="0.25">
      <c r="A82" t="s">
        <v>68</v>
      </c>
      <c r="B82" t="s">
        <v>87</v>
      </c>
      <c r="C82" t="s">
        <v>77</v>
      </c>
      <c r="D82" t="s">
        <v>74</v>
      </c>
    </row>
    <row r="83" spans="1:4" x14ac:dyDescent="0.25">
      <c r="A83" t="s">
        <v>68</v>
      </c>
      <c r="B83" t="s">
        <v>87</v>
      </c>
      <c r="C83" t="s">
        <v>90</v>
      </c>
      <c r="D83" t="s">
        <v>74</v>
      </c>
    </row>
    <row r="84" spans="1:4" x14ac:dyDescent="0.25">
      <c r="A84" t="s">
        <v>68</v>
      </c>
      <c r="B84" t="s">
        <v>87</v>
      </c>
      <c r="C84" t="s">
        <v>91</v>
      </c>
      <c r="D84" t="s">
        <v>74</v>
      </c>
    </row>
    <row r="85" spans="1:4" x14ac:dyDescent="0.25">
      <c r="A85" t="s">
        <v>92</v>
      </c>
      <c r="B85" t="s">
        <v>93</v>
      </c>
      <c r="C85" t="s">
        <v>94</v>
      </c>
      <c r="D85" t="s">
        <v>42</v>
      </c>
    </row>
    <row r="86" spans="1:4" x14ac:dyDescent="0.25">
      <c r="A86" t="s">
        <v>92</v>
      </c>
      <c r="B86" t="s">
        <v>93</v>
      </c>
      <c r="C86" t="s">
        <v>95</v>
      </c>
      <c r="D86" t="s">
        <v>41</v>
      </c>
    </row>
    <row r="87" spans="1:4" x14ac:dyDescent="0.25">
      <c r="A87" t="s">
        <v>92</v>
      </c>
      <c r="B87" t="s">
        <v>93</v>
      </c>
      <c r="C87" t="s">
        <v>96</v>
      </c>
      <c r="D87" t="s">
        <v>41</v>
      </c>
    </row>
    <row r="88" spans="1:4" x14ac:dyDescent="0.25">
      <c r="A88" t="s">
        <v>92</v>
      </c>
      <c r="B88" t="s">
        <v>93</v>
      </c>
      <c r="C88" t="s">
        <v>97</v>
      </c>
      <c r="D88" t="s">
        <v>41</v>
      </c>
    </row>
    <row r="89" spans="1:4" x14ac:dyDescent="0.25">
      <c r="A89" t="s">
        <v>92</v>
      </c>
      <c r="B89" t="s">
        <v>93</v>
      </c>
      <c r="C89" t="s">
        <v>98</v>
      </c>
      <c r="D89" t="s">
        <v>41</v>
      </c>
    </row>
    <row r="90" spans="1:4" x14ac:dyDescent="0.25">
      <c r="A90" t="s">
        <v>92</v>
      </c>
      <c r="B90" t="s">
        <v>93</v>
      </c>
      <c r="C90" t="s">
        <v>99</v>
      </c>
      <c r="D90" t="s">
        <v>41</v>
      </c>
    </row>
    <row r="91" spans="1:4" x14ac:dyDescent="0.25">
      <c r="A91" t="s">
        <v>92</v>
      </c>
      <c r="B91" t="s">
        <v>93</v>
      </c>
      <c r="C91" t="s">
        <v>100</v>
      </c>
      <c r="D91" t="s">
        <v>41</v>
      </c>
    </row>
    <row r="92" spans="1:4" x14ac:dyDescent="0.25">
      <c r="A92" t="s">
        <v>92</v>
      </c>
      <c r="B92" t="s">
        <v>93</v>
      </c>
      <c r="C92" t="s">
        <v>101</v>
      </c>
      <c r="D92" t="s">
        <v>41</v>
      </c>
    </row>
    <row r="93" spans="1:4" x14ac:dyDescent="0.25">
      <c r="A93" t="s">
        <v>92</v>
      </c>
      <c r="B93" t="s">
        <v>93</v>
      </c>
      <c r="C93" t="s">
        <v>102</v>
      </c>
      <c r="D93" t="s">
        <v>41</v>
      </c>
    </row>
    <row r="94" spans="1:4" x14ac:dyDescent="0.25">
      <c r="A94" t="s">
        <v>92</v>
      </c>
      <c r="B94" t="s">
        <v>93</v>
      </c>
      <c r="C94" t="s">
        <v>103</v>
      </c>
      <c r="D94" t="s">
        <v>74</v>
      </c>
    </row>
    <row r="95" spans="1:4" x14ac:dyDescent="0.25">
      <c r="A95" t="s">
        <v>92</v>
      </c>
      <c r="B95" t="s">
        <v>93</v>
      </c>
      <c r="C95" t="s">
        <v>104</v>
      </c>
      <c r="D95" t="s">
        <v>74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Mano individualus IP</vt:lpstr>
      <vt:lpstr>Potinkliai</vt:lpstr>
      <vt:lpstr>IP adresai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Šatkevič</dc:creator>
  <cp:lastModifiedBy>Home PC</cp:lastModifiedBy>
  <dcterms:created xsi:type="dcterms:W3CDTF">2015-06-05T18:17:20Z</dcterms:created>
  <dcterms:modified xsi:type="dcterms:W3CDTF">2026-04-24T20:31:41Z</dcterms:modified>
</cp:coreProperties>
</file>